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bb280075a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f885c224aa54c1b"/>
    <x:sheet xmlns:r="http://schemas.openxmlformats.org/officeDocument/2006/relationships" name="Dashboard" sheetId="2" r:id="Rb3cb070d7f964d76"/>
    <x:sheet xmlns:r="http://schemas.openxmlformats.org/officeDocument/2006/relationships" name="Aux" sheetId="3" r:id="R46cfde69131e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1F3A"/>
      <x:name val="Carlito"/>
    </x:font>
    <x:font>
      <x:b/>
      <x:sz val="18"/>
      <x:color rgb="FFFFFFFF"/>
      <x:name val="Carlito"/>
    </x:font>
    <x:font>
      <x:b/>
      <x:sz val="15"/>
      <x:color rgb="FF111C4E"/>
      <x:name val="Carlito"/>
    </x:font>
    <x:font>
      <x:b/>
      <x:sz val="8"/>
      <x:color rgb="FF1F2937"/>
      <x:name val="Carlito"/>
    </x:font>
    <x:font>
      <x:b/>
      <x:sz val="17"/>
      <x:color rgb="FF111827"/>
      <x:name val="Carlito"/>
    </x:font>
    <x:font>
      <x:b/>
      <x:sz val="11"/>
      <x:color rgb="FF111827"/>
      <x:name val="Carlito"/>
    </x:font>
    <x:font>
      <x:b/>
      <x:sz val="8"/>
      <x:color rgb="FF111827"/>
      <x:name val="Carlito"/>
    </x:font>
    <x:font>
      <x:b/>
      <x:sz val="30"/>
      <x:color rgb="FFF5B301"/>
      <x:name val="Carlito"/>
    </x:font>
    <x:font>
      <x:b/>
      <x:sz val="12"/>
      <x:color rgb="FF111827"/>
      <x:name val="Carlito"/>
    </x:font>
    <x:font>
      <x:b/>
      <x:sz val="14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5C45"/>
      </x:patternFill>
    </x:fill>
    <x:fill>
      <x:patternFill patternType="solid">
        <x:fgColor rgb="FFE8F5EF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7F9FC"/>
      </x:patternFill>
    </x:fill>
  </x:fills>
  <x:borders count="19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201" fontId="0" fillId="0" borderId="1" xfId="0" applyNumberFormat="1" applyFont="1" applyFill="1" applyBorder="1"/>
    <x:xf numFmtId="201" fontId="2" fillId="3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top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200" fontId="6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6" fillId="4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7" fillId="4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 applyAlignment="1">
      <x:alignment horizontal="center"/>
    </x:xf>
    <x:xf numFmtId="200" fontId="0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201" fontId="11" fillId="4" borderId="0" xfId="0" applyNumberFormat="1" applyFont="1" applyFill="1" applyBorder="1" applyAlignment="1">
      <x:alignment horizontal="center"/>
    </x:xf>
    <x:xf numFmtId="200" fontId="11" fillId="4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5" fillId="4" borderId="2" xfId="0" applyNumberFormat="1" applyFont="1" applyFill="1" applyBorder="1" applyAlignment="1">
      <x:alignment horizontal="center" vertical="top"/>
    </x:xf>
    <x:xf numFmtId="0" fontId="0" fillId="0" borderId="3" xfId="0" applyNumberFormat="1" applyFont="1" applyFill="1" applyBorder="1"/>
    <x:xf numFmtId="0" fontId="5" fillId="4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/>
    <x:xf numFmtId="201" fontId="6" fillId="4" borderId="5" xfId="0" applyNumberFormat="1" applyFont="1" applyFill="1" applyBorder="1" applyAlignment="1">
      <x:alignment horizontal="center" vertical="center"/>
    </x:xf>
    <x:xf numFmtId="201" fontId="0" fillId="0" borderId="6" xfId="0" applyNumberFormat="1" applyFont="1" applyFill="1" applyBorder="1"/>
    <x:xf numFmtId="0" fontId="0" fillId="0" borderId="6" xfId="0" applyNumberFormat="1" applyFont="1" applyFill="1" applyBorder="1"/>
    <x:xf numFmtId="201" fontId="6" fillId="4" borderId="6" xfId="0" applyNumberFormat="1" applyFont="1" applyFill="1" applyBorder="1" applyAlignment="1">
      <x:alignment horizontal="center" vertical="center"/>
    </x:xf>
    <x:xf numFmtId="200" fontId="6" fillId="4" borderId="6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7" fillId="4" borderId="5" xfId="0" applyNumberFormat="1" applyFont="1" applyFill="1" applyBorder="1"/>
    <x:xf numFmtId="0" fontId="0" fillId="4" borderId="6" xfId="0" applyNumberFormat="1" applyFont="1" applyFill="1" applyBorder="1"/>
    <x:xf numFmtId="0" fontId="7" fillId="4" borderId="6" xfId="0" applyNumberFormat="1" applyFont="1" applyFill="1" applyBorder="1" applyAlignment="1">
      <x:alignment horizontal="center"/>
    </x:xf>
    <x:xf numFmtId="0" fontId="0" fillId="4" borderId="7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0" fillId="4" borderId="5" xfId="0" applyNumberFormat="1" applyFont="1" applyFill="1" applyBorder="1" applyAlignment="1">
      <x:alignment wrapText="1"/>
    </x:xf>
    <x:xf numFmtId="201" fontId="0" fillId="4" borderId="6" xfId="0" applyNumberFormat="1" applyFont="1" applyFill="1" applyBorder="1" applyAlignment="1">
      <x:alignment horizontal="center"/>
    </x:xf>
    <x:xf numFmtId="200" fontId="0" fillId="4" borderId="6" xfId="0" applyNumberFormat="1" applyFont="1" applyFill="1" applyBorder="1" applyAlignment="1">
      <x:alignment horizontal="center"/>
    </x:xf>
    <x:xf numFmtId="0" fontId="9" fillId="4" borderId="6" xfId="0" applyNumberFormat="1" applyFont="1" applyFill="1" applyBorder="1" applyAlignment="1">
      <x:alignment horizontal="center"/>
    </x:xf>
    <x:xf numFmtId="0" fontId="10" fillId="4" borderId="6" xfId="0" applyNumberFormat="1" applyFont="1" applyFill="1" applyBorder="1" applyAlignment="1">
      <x:alignment horizontal="center" wrapText="1"/>
    </x:xf>
    <x:xf numFmtId="201" fontId="11" fillId="4" borderId="6" xfId="0" applyNumberFormat="1" applyFont="1" applyFill="1" applyBorder="1" applyAlignment="1">
      <x:alignment horizontal="center"/>
    </x:xf>
    <x:xf numFmtId="200" fontId="11" fillId="4" borderId="6" xfId="0" applyNumberFormat="1" applyFont="1" applyFill="1" applyBorder="1" applyAlignment="1">
      <x:alignment horizontal="center"/>
    </x:xf>
    <x:xf numFmtId="200" fontId="11" fillId="4" borderId="7" xfId="0" applyNumberFormat="1" applyFont="1" applyFill="1" applyBorder="1" applyAlignment="1">
      <x:alignment horizontal="center"/>
    </x:xf>
    <x:xf numFmtId="0" fontId="8" fillId="4" borderId="6" xfId="0" applyNumberFormat="1" applyFont="1" applyFill="1" applyBorder="1" applyAlignment="1">
      <x:alignment horizontal="center"/>
    </x:xf>
    <x:xf numFmtId="0" fontId="8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wrapText="1"/>
    </x:xf>
    <x:xf numFmtId="201" fontId="0" fillId="4" borderId="9" xfId="0" applyNumberFormat="1" applyFont="1" applyFill="1" applyBorder="1" applyAlignment="1">
      <x:alignment horizontal="center"/>
    </x:xf>
    <x:xf numFmtId="200" fontId="0" fillId="4" borderId="9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/>
    <x:xf numFmtId="0" fontId="0" fillId="0" borderId="9" xfId="0" applyNumberFormat="1" applyFont="1" applyFill="1" applyBorder="1"/>
    <x:xf numFmtId="0" fontId="0" fillId="4" borderId="10" xfId="0" applyNumberFormat="1" applyFont="1" applyFill="1" applyBorder="1"/>
    <x:xf numFmtId="0" fontId="7" fillId="0" borderId="11" xfId="0" applyNumberFormat="1" applyFont="1" applyFill="1" applyBorder="1"/>
    <x:xf numFmtId="0" fontId="0" fillId="0" borderId="12" xfId="0" applyNumberFormat="1" applyFont="1" applyFill="1" applyBorder="1"/>
    <x:xf numFmtId="0" fontId="7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2" xfId="0" applyNumberFormat="1" applyFont="1" applyFill="1" applyBorder="1" applyAlignment="1">
      <x:alignment horizontal="center" vertical="top"/>
    </x:xf>
    <x:xf numFmtId="0" fontId="0" fillId="6" borderId="3" xfId="0" applyNumberFormat="1" applyFont="1" applyFill="1" applyBorder="1"/>
    <x:xf numFmtId="0" fontId="5" fillId="6" borderId="3" xfId="0" applyNumberFormat="1" applyFont="1" applyFill="1" applyBorder="1" applyAlignment="1">
      <x:alignment horizontal="center" vertical="top"/>
    </x:xf>
    <x:xf numFmtId="0" fontId="0" fillId="6" borderId="4" xfId="0" applyNumberFormat="1" applyFont="1" applyFill="1" applyBorder="1"/>
    <x:xf numFmtId="201" fontId="6" fillId="6" borderId="5" xfId="0" applyNumberFormat="1" applyFont="1" applyFill="1" applyBorder="1" applyAlignment="1">
      <x:alignment horizontal="center" vertical="center"/>
    </x:xf>
    <x:xf numFmtId="201" fontId="0" fillId="6" borderId="6" xfId="0" applyNumberFormat="1" applyFont="1" applyFill="1" applyBorder="1"/>
    <x:xf numFmtId="0" fontId="0" fillId="6" borderId="6" xfId="0" applyNumberFormat="1" applyFont="1" applyFill="1" applyBorder="1"/>
    <x:xf numFmtId="201" fontId="6" fillId="6" borderId="6" xfId="0" applyNumberFormat="1" applyFont="1" applyFill="1" applyBorder="1" applyAlignment="1">
      <x:alignment horizontal="center" vertical="center"/>
    </x:xf>
    <x:xf numFmtId="200" fontId="6" fillId="6" borderId="6" xfId="0" applyNumberFormat="1" applyFont="1" applyFill="1" applyBorder="1" applyAlignment="1">
      <x:alignment horizontal="center" vertical="center"/>
    </x:xf>
    <x:xf numFmtId="200" fontId="0" fillId="6" borderId="6" xfId="0" applyNumberFormat="1" applyFont="1" applyFill="1" applyBorder="1"/>
    <x:xf numFmtId="201" fontId="0" fillId="6" borderId="7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 applyAlignment="1">
      <x:alignment horizontal="center"/>
    </x:xf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201" fontId="0" fillId="6" borderId="6" xfId="0" applyNumberFormat="1" applyFont="1" applyFill="1" applyBorder="1" applyAlignment="1">
      <x:alignment horizontal="center"/>
    </x:xf>
    <x:xf numFmtId="200" fontId="0" fillId="6" borderId="6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/>
    </x:xf>
    <x:xf numFmtId="0" fontId="10" fillId="6" borderId="6" xfId="0" applyNumberFormat="1" applyFont="1" applyFill="1" applyBorder="1" applyAlignment="1">
      <x:alignment horizontal="center" wrapText="1"/>
    </x:xf>
    <x:xf numFmtId="201" fontId="11" fillId="6" borderId="6" xfId="0" applyNumberFormat="1" applyFont="1" applyFill="1" applyBorder="1" applyAlignment="1">
      <x:alignment horizontal="center"/>
    </x:xf>
    <x:xf numFmtId="200" fontId="11" fillId="6" borderId="6" xfId="0" applyNumberFormat="1" applyFont="1" applyFill="1" applyBorder="1" applyAlignment="1">
      <x:alignment horizontal="center"/>
    </x:xf>
    <x:xf numFmtId="200" fontId="11" fillId="6" borderId="7" xfId="0" applyNumberFormat="1" applyFont="1" applyFill="1" applyBorder="1" applyAlignment="1">
      <x:alignment horizontal="center"/>
    </x:xf>
    <x:xf numFmtId="0" fontId="8" fillId="6" borderId="6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 applyAlignment="1">
      <x:alignment wrapText="1"/>
    </x:xf>
    <x:xf numFmtId="201" fontId="0" fillId="6" borderId="9" xfId="0" applyNumberFormat="1" applyFont="1" applyFill="1" applyBorder="1" applyAlignment="1">
      <x:alignment horizontal="center"/>
    </x:xf>
    <x:xf numFmtId="200" fontId="0" fillId="6" borderId="9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7" fillId="6" borderId="11" xfId="0" applyNumberFormat="1" applyFont="1" applyFill="1" applyBorder="1"/>
    <x:xf numFmtId="0" fontId="0" fillId="6" borderId="12" xfId="0" applyNumberFormat="1" applyFont="1" applyFill="1" applyBorder="1"/>
    <x:xf numFmtId="0" fontId="7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201" fontId="0" fillId="4" borderId="6" xfId="0" applyNumberFormat="1" applyFont="1" applyFill="1" applyBorder="1"/>
    <x:xf numFmtId="200" fontId="0" fillId="4" borderId="6" xfId="0" applyNumberFormat="1" applyFont="1" applyFill="1" applyBorder="1"/>
    <x:xf numFmtId="201" fontId="0" fillId="4" borderId="7" xfId="0" applyNumberFormat="1" applyFont="1" applyFill="1" applyBorder="1"/>
    <x:xf numFmtId="0" fontId="0" fillId="4" borderId="5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7" fillId="4" borderId="11" xfId="0" applyNumberFormat="1" applyFont="1" applyFill="1" applyBorder="1"/>
    <x:xf numFmtId="0" fontId="0" fillId="4" borderId="12" xfId="0" applyNumberFormat="1" applyFont="1" applyFill="1" applyBorder="1"/>
    <x:xf numFmtId="0" fontId="7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e1706df2f48b6" /><Relationship Type="http://schemas.openxmlformats.org/officeDocument/2006/relationships/theme" Target="/xl/theme/theme1.xml" Id="Rd2af905040074455" /><Relationship Type="http://schemas.openxmlformats.org/officeDocument/2006/relationships/sharedStrings" Target="/xl/sharedStrings.xml" Id="R7c3ea5fd112e4699" /><Relationship Type="http://schemas.openxmlformats.org/officeDocument/2006/relationships/worksheet" Target="/xl/worksheets/sheet1.xml" Id="Rcf885c224aa54c1b" /><Relationship Type="http://schemas.openxmlformats.org/officeDocument/2006/relationships/worksheet" Target="/xl/worksheets/sheet2.xml" Id="Rb3cb070d7f964d76" /><Relationship Type="http://schemas.openxmlformats.org/officeDocument/2006/relationships/worksheet" Target="/xl/worksheets/sheet3.xml" Id="R46cfde69131e42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62b2a54bc94bf0" /><Relationship Type="http://schemas.openxmlformats.org/officeDocument/2006/relationships/chart" Target="/xl/drawings/charts/chart2.xml" Id="Rd554cd1c065a48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Pedidos y pendientes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Pedidos</c:v>
          </c:tx>
          <c:cat>
            <c:strRef>
              <c:f>'Aux'!$D$2:$D$7</c:f>
              <c:strCache>
                <c:ptCount val="0"/>
              </c:strCache>
            </c:strRef>
          </c:cat>
          <c:val>
            <c:numRef>
              <c:f>'Aux'!$E$2:$E$7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Pendientes</c:v>
          </c:tx>
          <c:cat>
            <c:strRef>
              <c:f>'Aux'!$D$2:$D$7</c:f>
              <c:strCache>
                <c:ptCount val="0"/>
              </c:strCache>
            </c:strRef>
          </c:cat>
          <c:val>
            <c:numRef>
              <c:f>'Aux'!$F$2:$F$7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Estado de pedidos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Cantidad</c:v>
          </c:tx>
          <c:cat>
            <c:strRef>
              <c:f>'Aux'!$A$2:$A$3</c:f>
              <c:strCache>
                <c:ptCount val="0"/>
              </c:strCache>
            </c:strRef>
          </c:cat>
          <c:val>
            <c:numRef>
              <c:f>'Aux'!$B$2:$B$3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62b2a54bc94bf0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54cd1c065a48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Planillas" displayName="TablaPlanillas" ref="A1:I8" headerRowCount="1">
  <x:tableColumns count="9">
    <x:tableColumn id="1" name="Planillas"/>
    <x:tableColumn id="2" name="URL"/>
    <x:tableColumn id="3" name="ID"/>
    <x:tableColumn id="4" name="SKU"/>
    <x:tableColumn id="5" name="TOTAL"/>
    <x:tableColumn id="6" name="PENDIENTES"/>
    <x:tableColumn id="7" name="PROGRESO"/>
    <x:tableColumn id="8" name="USUARIOS"/>
    <x:tableColumn id="9" name="PALLE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eb697243cd40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831574b21a42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75" hidden="0" customWidth="1"/>
    <x:col min="2" max="2" width="15" hidden="0" customWidth="1"/>
    <x:col min="3" max="3" width="20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</x:cols>
  <x:sheetData>
    <x:row r="1">
      <x:c r="A1" s="12" t="str">
        <x:v>Planillas</x:v>
      </x:c>
      <x:c r="B1" s="12" t="str">
        <x:v>URL</x:v>
      </x:c>
      <x:c r="C1" s="12" t="str">
        <x:v>ID</x:v>
      </x:c>
      <x:c r="D1" s="12" t="str">
        <x:v>SKU</x:v>
      </x:c>
      <x:c r="E1" s="12" t="str">
        <x:v>TOTAL</x:v>
      </x:c>
      <x:c r="F1" s="12" t="str">
        <x:v>PENDIENTES</x:v>
      </x:c>
      <x:c r="G1" s="12" t="str">
        <x:v>PROGRESO</x:v>
      </x:c>
      <x:c r="H1" s="12" t="str">
        <x:v>USUARIOS</x:v>
      </x:c>
      <x:c r="I1" s="12" t="str">
        <x:v>PALLETS</x:v>
      </x:c>
    </x:row>
    <x:row r="2">
      <x:c r="A2" s="13" t="str">
        <x:v>Bidcom Fulfillment PREPARACION EN EE ENVIO STORE 68158112 29/05</x:v>
      </x:c>
      <x:c r="B2" s="13" t="str">
        <x:v>https://docs.google.com/spreadsheets/d/1m5Olc3LjrZah7EMihBCvP7y73N3dYeHRYxNsy5emTps/edit?gid=31416541#gid=31416541</x:v>
      </x:c>
      <x:c r="C2" s="13" t="str">
        <x:v>1m5Olc3LjrZah7EMihBCvP7y73N3dYeHRYxNsy5emTps</x:v>
      </x:c>
      <x:c r="D2" s="14" t="n">
        <x:v>3</x:v>
      </x:c>
      <x:c r="E2" s="14" t="n">
        <x:v>989</x:v>
      </x:c>
      <x:c r="F2" s="14" t="n">
        <x:v>0</x:v>
      </x:c>
      <x:c r="G2" s="15" t="n">
        <x:f>IFERROR((E2-F2)/E2,0)</x:f>
        <x:v>1</x:v>
      </x:c>
      <x:c r="H2" s="14" t="n">
        <x:v>1</x:v>
      </x:c>
      <x:c r="I2" s="14" t="n">
        <x:v>5</x:v>
      </x:c>
    </x:row>
    <x:row r="3">
      <x:c r="A3" s="13" t="str">
        <x:v>Bidcom Fulfillment PREPARACION EN EE ENVIO BIDCOM #68160444 1/06</x:v>
      </x:c>
      <x:c r="B3" s="13" t="str">
        <x:v>https://docs.google.com/spreadsheets/d/163YF0pLeeVuxLu2qPo-XNsULU3NQiS2qethrH-VOBlM/edit?gid=31416541#gid=31416541</x:v>
      </x:c>
      <x:c r="C3" s="13" t="str">
        <x:v>163YF0pLeeVuxLu2qPo-XNsULU3NQiS2qethrH-VOBlM</x:v>
      </x:c>
      <x:c r="D3" s="14" t="n">
        <x:v>144</x:v>
      </x:c>
      <x:c r="E3" s="14" t="n">
        <x:v>5444</x:v>
      </x:c>
      <x:c r="F3" s="14" t="n">
        <x:v>4777</x:v>
      </x:c>
      <x:c r="G3" s="15" t="n">
        <x:f>IFERROR((E3-F3)/E3,0)</x:f>
        <x:v>0.12252020573108009</x:v>
      </x:c>
      <x:c r="H3" s="14" t="n">
        <x:v>1</x:v>
      </x:c>
      <x:c r="I3" s="14" t="n">
        <x:v>2</x:v>
      </x:c>
    </x:row>
    <x:row r="4">
      <x:c r="A4" s="13" t="str">
        <x:v>Preparacion Fulfillment EE ENVIO BIDCOM #68156370 29/05</x:v>
      </x:c>
      <x:c r="B4" s="13" t="str">
        <x:v>https://docs.google.com/spreadsheets/d/1uuSFNGIiP4tt5jrXVm57SK9DQzXOmn2IBOctdmG28c0/edit?gid=31416541#gid=31416541</x:v>
      </x:c>
      <x:c r="C4" s="13" t="str">
        <x:v>1uuSFNGIiP4tt5jrXVm57SK9DQzXOmn2IBOctdmG28c0</x:v>
      </x:c>
      <x:c r="D4" s="14" t="n">
        <x:v>8</x:v>
      </x:c>
      <x:c r="E4" s="14" t="n">
        <x:v>937</x:v>
      </x:c>
      <x:c r="F4" s="14" t="n">
        <x:v>0</x:v>
      </x:c>
      <x:c r="G4" s="15" t="n">
        <x:f>IFERROR((E4-F4)/E4,0)</x:f>
        <x:v>1</x:v>
      </x:c>
      <x:c r="H4" s="14" t="n">
        <x:v>1</x:v>
      </x:c>
      <x:c r="I4" s="14" t="n">
        <x:v>6</x:v>
      </x:c>
    </x:row>
    <x:row r="5">
      <x:c r="A5" s="13" t="str">
        <x:v>PREPARACION FULL RENOVADO - BIDCOM STORE N68165989 1/06 08:00HS</x:v>
      </x:c>
      <x:c r="B5" s="13" t="str">
        <x:v>https://docs.google.com/spreadsheets/d/11_DPRMezgoiQkNOVSOA1c-95RsRu2D_FUwfYbGZGxoQ/edit?gid=31416541#gid=31416541</x:v>
      </x:c>
      <x:c r="C5" s="13" t="str">
        <x:v>11_DPRMezgoiQkNOVSOA1c-95RsRu2D_FUwfYbGZGxoQ</x:v>
      </x:c>
      <x:c r="D5" s="14" t="n">
        <x:v>56</x:v>
      </x:c>
      <x:c r="E5" s="14" t="n">
        <x:v>976</x:v>
      </x:c>
      <x:c r="F5" s="14" t="n">
        <x:v>187</x:v>
      </x:c>
      <x:c r="G5" s="15" t="n">
        <x:f>IFERROR((E5-F5)/E5,0)</x:f>
        <x:v>0.8084016393442623</x:v>
      </x:c>
      <x:c r="H5" s="14" t="n">
        <x:v>3</x:v>
      </x:c>
      <x:c r="I5" s="14" t="n">
        <x:v>3</x:v>
      </x:c>
    </x:row>
    <x:row r="6">
      <x:c r="A6" s="13" t="str">
        <x:v>FULL RENOVADO - ENVIO BIDCOM N68160444 1/06 08:30hs</x:v>
      </x:c>
      <x:c r="B6" s="13" t="str">
        <x:v>https://docs.google.com/spreadsheets/d/13TgDi51AMnBygpaYxGtzBo-GE8KDFwnJivcld6JVsr4/edit?gid=31416541#gid=31416541</x:v>
      </x:c>
      <x:c r="C6" s="13" t="str">
        <x:v>13TgDi51AMnBygpaYxGtzBo-GE8KDFwnJivcld6JVsr4</x:v>
      </x:c>
      <x:c r="D6" s="14" t="n">
        <x:v>55</x:v>
      </x:c>
      <x:c r="E6" s="14" t="n">
        <x:v>882</x:v>
      </x:c>
      <x:c r="F6" s="14" t="n">
        <x:v>0</x:v>
      </x:c>
      <x:c r="G6" s="15" t="n">
        <x:f>IFERROR((E6-F6)/E6,0)</x:f>
        <x:v>1</x:v>
      </x:c>
      <x:c r="H6" s="14" t="n">
        <x:v>2</x:v>
      </x:c>
      <x:c r="I6" s="14" t="n">
        <x:v>4</x:v>
      </x:c>
    </x:row>
    <x:row r="7">
      <x:c r="A7" s="13" t="str">
        <x:v>Preparacion Fulfillment EE BIDCOM STORE #68165989 1/06</x:v>
      </x:c>
      <x:c r="B7" s="13" t="str">
        <x:v>https://docs.google.com/spreadsheets/d/1GDmkGykS2I8NUoZHgbaLDRGUz150bz_QL3AQpOnDfqQ/edit?gid=31416541#gid=31416541</x:v>
      </x:c>
      <x:c r="C7" s="13" t="str">
        <x:v>1GDmkGykS2I8NUoZHgbaLDRGUz150bz_QL3AQpOnDfqQ</x:v>
      </x:c>
      <x:c r="D7" s="14" t="n">
        <x:v>173</x:v>
      </x:c>
      <x:c r="E7" s="14" t="n">
        <x:v>5492</x:v>
      </x:c>
      <x:c r="F7" s="14" t="n">
        <x:v>266</x:v>
      </x:c>
      <x:c r="G7" s="15" t="n">
        <x:f>IFERROR((E7-F7)/E7,0)</x:f>
        <x:v>0.9515659140568099</x:v>
      </x:c>
      <x:c r="H7" s="14" t="n">
        <x:v>2</x:v>
      </x:c>
      <x:c r="I7" s="14" t="n">
        <x:v>25</x:v>
      </x:c>
    </x:row>
    <x:row r="8">
      <x:c r="A8" s="16" t="str"/>
      <x:c r="B8" s="16" t="str"/>
      <x:c r="C8" s="16" t="str"/>
      <x:c r="D8" s="17" t="n">
        <x:f>SUM(D2:D7)</x:f>
        <x:v>439</x:v>
      </x:c>
      <x:c r="E8" s="17" t="n">
        <x:f>SUM(E2:E7)</x:f>
        <x:v>14720</x:v>
      </x:c>
      <x:c r="F8" s="17" t="n">
        <x:f>SUM(F2:F7)</x:f>
        <x:v>5230</x:v>
      </x:c>
      <x:c r="G8" s="18" t="n">
        <x:f>IFERROR((E8-F8)/E8,0)</x:f>
        <x:v>0.6447010869565217</x:v>
      </x:c>
      <x:c r="H8" s="17" t="n">
        <x:f>SUM(H2:H7)</x:f>
        <x:v>10</x:v>
      </x:c>
      <x:c r="I8" s="17" t="n">
        <x:f>SUM(I2:I7)</x:f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d5eb697243cd40c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8.75" hidden="0" customWidth="1"/>
    <x:col min="3" max="3" width="9.75" hidden="0" customWidth="1"/>
    <x:col min="4" max="4" width="9.75" hidden="0" customWidth="1"/>
    <x:col min="5" max="5" width="9.75" hidden="0" customWidth="1"/>
    <x:col min="6" max="6" width="9.75" hidden="0" customWidth="1"/>
    <x:col min="7" max="7" width="10" hidden="0" customWidth="1"/>
    <x:col min="8" max="8" width="9.75" hidden="0" customWidth="1"/>
    <x:col min="9" max="9" width="9.75" hidden="0" customWidth="1"/>
    <x:col min="10" max="10" width="9.75" hidden="0" customWidth="1"/>
    <x:col min="11" max="11" width="9.75" hidden="0" customWidth="1"/>
    <x:col min="12" max="12" width="9.75" hidden="0" customWidth="1"/>
    <x:col min="13" max="13" width="9.75" hidden="0" customWidth="1"/>
    <x:col min="14" max="14" width="9.75" hidden="0" customWidth="1"/>
  </x:cols>
  <x:sheetData>
    <x:row r="1" ht="31.5" customHeight="1">
      <x:c r="A1" s="21" t="str">
        <x:v>2. DASHBOARD DE PROGRESO (GOOGLE SHEETS)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3">
      <x:c r="A3" s="101" t="str">
        <x:v>DASHBOARD - PROGRESO DE PEDIDOS</x:v>
      </x:c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</x:row>
    <x:row r="5">
      <x:c r="A5" s="54" t="str">
        <x:v>TOTAL PEDIDOS</x:v>
      </x:c>
      <x:c r="B5" s="143"/>
      <x:c r="C5" s="143"/>
      <x:c r="D5" s="56" t="str">
        <x:v>PICKEADOS TOTALES</x:v>
      </x:c>
      <x:c r="E5" s="143"/>
      <x:c r="F5" s="143"/>
      <x:c r="G5" s="56" t="str">
        <x:v>% PROGRESO GENERAL</x:v>
      </x:c>
      <x:c r="H5" s="143"/>
      <x:c r="I5" s="143"/>
      <x:c r="J5" s="56" t="str">
        <x:v>SKU TOTALES</x:v>
      </x:c>
      <x:c r="K5" s="143"/>
      <x:c r="L5" s="143"/>
      <x:c r="M5" s="56" t="str">
        <x:v>PALLETS</x:v>
      </x:c>
      <x:c r="N5" s="144"/>
    </x:row>
    <x:row r="6">
      <x:c r="A6" s="58" t="n">
        <x:f>Datos!E8</x:f>
        <x:v>14720</x:v>
      </x:c>
      <x:c r="B6" s="145"/>
      <x:c r="C6" s="68"/>
      <x:c r="D6" s="61" t="n">
        <x:f>Datos!E8-Datos!F8</x:f>
        <x:v>9490</x:v>
      </x:c>
      <x:c r="E6" s="145"/>
      <x:c r="F6" s="68"/>
      <x:c r="G6" s="62" t="n">
        <x:f>Datos!G8</x:f>
        <x:v>0.6447010869565217</x:v>
      </x:c>
      <x:c r="H6" s="146"/>
      <x:c r="I6" s="68"/>
      <x:c r="J6" s="61" t="n">
        <x:f>Datos!D8</x:f>
        <x:v>439</x:v>
      </x:c>
      <x:c r="K6" s="145"/>
      <x:c r="L6" s="68"/>
      <x:c r="M6" s="61" t="n">
        <x:f>Datos!I8</x:f>
        <x:v>45</x:v>
      </x:c>
      <x:c r="N6" s="147"/>
    </x:row>
    <x:row r="7">
      <x:c r="A7" s="148"/>
      <x:c r="B7" s="68"/>
      <x:c r="C7" s="68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70"/>
    </x:row>
    <x:row r="8">
      <x:c r="A8" s="113"/>
      <x:c r="B8" s="108"/>
      <x:c r="C8" s="108"/>
      <x:c r="D8" s="108"/>
      <x:c r="E8" s="108"/>
      <x:c r="F8" s="108"/>
      <x:c r="G8" s="108"/>
      <x:c r="H8" s="108"/>
      <x:c r="I8" s="108"/>
      <x:c r="J8" s="108"/>
      <x:c r="K8" s="108"/>
      <x:c r="L8" s="108"/>
      <x:c r="M8" s="108"/>
      <x:c r="N8" s="114"/>
    </x:row>
    <x:row r="9">
      <x:c r="A9" s="67" t="str">
        <x:v>PROGRESO POR PLANILLA</x:v>
      </x:c>
      <x:c r="B9" s="68"/>
      <x:c r="C9" s="68"/>
      <x:c r="D9" s="68"/>
      <x:c r="E9" s="68"/>
      <x:c r="F9" s="68"/>
      <x:c r="G9" s="68"/>
      <x:c r="H9" s="68"/>
      <x:c r="I9" s="68"/>
      <x:c r="J9" s="108"/>
      <x:c r="K9" s="69" t="str">
        <x:v>QUIEN ES EL MEJOR?</x:v>
      </x:c>
      <x:c r="L9" s="68"/>
      <x:c r="M9" s="68"/>
      <x:c r="N9" s="70"/>
    </x:row>
    <x:row r="10">
      <x:c r="A10" s="149" t="str">
        <x:v>PLANILLA</x:v>
      </x:c>
      <x:c r="B10" s="150" t="str">
        <x:v>PICKEADOS</x:v>
      </x:c>
      <x:c r="C10" s="150" t="str">
        <x:v>% PROGRESO</x:v>
      </x:c>
      <x:c r="D10" s="150" t="str">
        <x:v>PEDIDOS</x:v>
      </x:c>
      <x:c r="E10" s="68"/>
      <x:c r="F10" s="68"/>
      <x:c r="G10" s="68"/>
      <x:c r="H10" s="68"/>
      <x:c r="I10" s="68"/>
      <x:c r="J10" s="108"/>
      <x:c r="K10" s="68"/>
      <x:c r="L10" s="68"/>
      <x:c r="M10" s="68"/>
      <x:c r="N10" s="70"/>
    </x:row>
    <x:row r="11">
      <x:c r="A11" s="73" t="str">
        <x:f>Datos!A2</x:f>
        <x:v>Bidcom Fulfillment PREPARACION EN EE ENVIO STORE 68158112 29/05</x:v>
      </x:c>
      <x:c r="B11" s="74" t="n">
        <x:f>Datos!E2-Datos!F2</x:f>
        <x:v>989</x:v>
      </x:c>
      <x:c r="C11" s="75" t="n">
        <x:f>Datos!G2</x:f>
        <x:v>1</x:v>
      </x:c>
      <x:c r="D11" s="74" t="n">
        <x:f>Datos!E2</x:f>
        <x:v>989</x:v>
      </x:c>
      <x:c r="E11" s="68"/>
      <x:c r="F11" s="68"/>
      <x:c r="G11" s="68"/>
      <x:c r="H11" s="68"/>
      <x:c r="I11" s="68"/>
      <x:c r="J11" s="108"/>
      <x:c r="K11" s="76" t="str">
        <x:v>TROFEO</x:v>
      </x:c>
      <x:c r="L11" s="68"/>
      <x:c r="M11" s="68"/>
      <x:c r="N11" s="70"/>
    </x:row>
    <x:row r="12">
      <x:c r="A12" s="73" t="str">
        <x:f>Datos!A3</x:f>
        <x:v>Bidcom Fulfillment PREPARACION EN EE ENVIO BIDCOM #68160444 1/06</x:v>
      </x:c>
      <x:c r="B12" s="74" t="n">
        <x:f>Datos!E3-Datos!F3</x:f>
        <x:v>667</x:v>
      </x:c>
      <x:c r="C12" s="75" t="n">
        <x:f>Datos!G3</x:f>
        <x:v>0.12252020573108009</x:v>
      </x:c>
      <x:c r="D12" s="74" t="n">
        <x:f>Datos!E3</x:f>
        <x:v>5444</x:v>
      </x:c>
      <x:c r="E12" s="68"/>
      <x:c r="F12" s="68"/>
      <x:c r="G12" s="68"/>
      <x:c r="H12" s="68"/>
      <x:c r="I12" s="68"/>
      <x:c r="J12" s="108"/>
      <x:c r="K12" s="77" t="str">
        <x:f>INDEX(Datos!A2:A7,MATCH(MAX(Datos!G2:G7),Datos!G2:G7,0))</x:f>
        <x:v>Bidcom Fulfillment PREPARACION EN EE ENVIO STORE 68158112 29/05</x:v>
      </x:c>
      <x:c r="L12" s="68"/>
      <x:c r="M12" s="68"/>
      <x:c r="N12" s="70"/>
    </x:row>
    <x:row r="13">
      <x:c r="A13" s="73" t="str">
        <x:f>Datos!A4</x:f>
        <x:v>Preparacion Fulfillment EE ENVIO BIDCOM #68156370 29/05</x:v>
      </x:c>
      <x:c r="B13" s="74" t="n">
        <x:f>Datos!E4-Datos!F4</x:f>
        <x:v>937</x:v>
      </x:c>
      <x:c r="C13" s="75" t="n">
        <x:f>Datos!G4</x:f>
        <x:v>1</x:v>
      </x:c>
      <x:c r="D13" s="74" t="n">
        <x:f>Datos!E4</x:f>
        <x:v>937</x:v>
      </x:c>
      <x:c r="E13" s="68"/>
      <x:c r="F13" s="68"/>
      <x:c r="G13" s="68"/>
      <x:c r="H13" s="68"/>
      <x:c r="I13" s="68"/>
      <x:c r="J13" s="108"/>
      <x:c r="K13" s="68"/>
      <x:c r="L13" s="68"/>
      <x:c r="M13" s="68"/>
      <x:c r="N13" s="70"/>
    </x:row>
    <x:row r="14">
      <x:c r="A14" s="73" t="str">
        <x:f>Datos!A5</x:f>
        <x:v>PREPARACION FULL RENOVADO - BIDCOM STORE N68165989 1/06 08:00HS</x:v>
      </x:c>
      <x:c r="B14" s="74" t="n">
        <x:f>Datos!E5-Datos!F5</x:f>
        <x:v>789</x:v>
      </x:c>
      <x:c r="C14" s="75" t="n">
        <x:f>Datos!G5</x:f>
        <x:v>0.8084016393442623</x:v>
      </x:c>
      <x:c r="D14" s="74" t="n">
        <x:f>Datos!E5</x:f>
        <x:v>976</x:v>
      </x:c>
      <x:c r="E14" s="68"/>
      <x:c r="F14" s="68"/>
      <x:c r="G14" s="68"/>
      <x:c r="H14" s="68"/>
      <x:c r="I14" s="68"/>
      <x:c r="J14" s="108"/>
      <x:c r="K14" s="78" t="n">
        <x:f>MAX(Datos!E2:E7-Datos!F2:F7)</x:f>
        <x:v>5226</x:v>
      </x:c>
      <x:c r="L14" s="78"/>
      <x:c r="M14" s="79" t="n">
        <x:f>MAX(Datos!G2:G7)</x:f>
        <x:v>1</x:v>
      </x:c>
      <x:c r="N14" s="80"/>
    </x:row>
    <x:row r="15">
      <x:c r="A15" s="73" t="str">
        <x:f>Datos!A6</x:f>
        <x:v>FULL RENOVADO - ENVIO BIDCOM N68160444 1/06 08:30hs</x:v>
      </x:c>
      <x:c r="B15" s="74" t="n">
        <x:f>Datos!E6-Datos!F6</x:f>
        <x:v>882</x:v>
      </x:c>
      <x:c r="C15" s="75" t="n">
        <x:f>Datos!G6</x:f>
        <x:v>1</x:v>
      </x:c>
      <x:c r="D15" s="74" t="n">
        <x:f>Datos!E6</x:f>
        <x:v>882</x:v>
      </x:c>
      <x:c r="E15" s="68"/>
      <x:c r="F15" s="68"/>
      <x:c r="G15" s="68"/>
      <x:c r="H15" s="68"/>
      <x:c r="I15" s="68"/>
      <x:c r="J15" s="108"/>
      <x:c r="K15" s="81" t="str">
        <x:v>PICKEADOS</x:v>
      </x:c>
      <x:c r="L15" s="81"/>
      <x:c r="M15" s="81" t="str">
        <x:v>DE PROGRESO</x:v>
      </x:c>
      <x:c r="N15" s="82"/>
    </x:row>
    <x:row r="16">
      <x:c r="A16" s="83" t="str">
        <x:f>Datos!A7</x:f>
        <x:v>Preparacion Fulfillment EE BIDCOM STORE #68165989 1/06</x:v>
      </x:c>
      <x:c r="B16" s="84" t="n">
        <x:f>Datos!E7-Datos!F7</x:f>
        <x:v>5226</x:v>
      </x:c>
      <x:c r="C16" s="85" t="n">
        <x:f>Datos!G7</x:f>
        <x:v>0.9515659140568099</x:v>
      </x:c>
      <x:c r="D16" s="84" t="n">
        <x:f>Datos!E7</x:f>
        <x:v>5492</x:v>
      </x:c>
      <x:c r="E16" s="86"/>
      <x:c r="F16" s="86"/>
      <x:c r="G16" s="86"/>
      <x:c r="H16" s="86"/>
      <x:c r="I16" s="86"/>
      <x:c r="J16" s="132"/>
      <x:c r="K16" s="86"/>
      <x:c r="L16" s="86"/>
      <x:c r="M16" s="86"/>
      <x:c r="N16" s="88"/>
    </x:row>
    <x:row r="17">
      <x:c r="A17" s="100"/>
      <x:c r="B17" s="100"/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</x:row>
    <x:row r="18">
      <x:c r="A18" s="151" t="str">
        <x:v>PEDIDOS POR PLANILLA</x:v>
      </x:c>
      <x:c r="B18" s="152"/>
      <x:c r="C18" s="152"/>
      <x:c r="D18" s="152"/>
      <x:c r="E18" s="152"/>
      <x:c r="F18" s="152"/>
      <x:c r="G18" s="152"/>
      <x:c r="H18" s="152"/>
      <x:c r="I18" s="152"/>
      <x:c r="J18" s="153" t="str">
        <x:v>ESTADO DE PEDIDOS</x:v>
      </x:c>
      <x:c r="K18" s="152"/>
      <x:c r="L18" s="152"/>
      <x:c r="M18" s="152"/>
      <x:c r="N18" s="154"/>
    </x:row>
    <x:row r="19">
      <x:c r="A19" s="155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156"/>
    </x:row>
    <x:row r="20">
      <x:c r="A20" s="155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156"/>
    </x:row>
    <x:row r="21">
      <x:c r="A21" s="155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156"/>
    </x:row>
    <x:row r="22">
      <x:c r="A22" s="155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156"/>
    </x:row>
    <x:row r="23">
      <x:c r="A23" s="155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156"/>
    </x:row>
    <x:row r="24">
      <x:c r="A24" s="155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156"/>
    </x:row>
    <x:row r="25">
      <x:c r="A25" s="155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156"/>
    </x:row>
    <x:row r="26">
      <x:c r="A26" s="155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156"/>
    </x:row>
    <x:row r="27">
      <x:c r="A27" s="155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156"/>
    </x:row>
    <x:row r="28">
      <x:c r="A28" s="155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156"/>
    </x:row>
    <x:row r="29">
      <x:c r="A29" s="155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156"/>
    </x:row>
    <x:row r="30">
      <x:c r="A30" s="155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156"/>
    </x:row>
    <x:row r="31">
      <x:c r="A31" s="155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156"/>
    </x:row>
    <x:row r="32">
      <x:c r="A32" s="155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156"/>
    </x:row>
    <x:row r="33">
      <x:c r="A33" s="157"/>
      <x:c r="B33" s="158"/>
      <x:c r="C33" s="158"/>
      <x:c r="D33" s="158"/>
      <x:c r="E33" s="158"/>
      <x:c r="F33" s="158"/>
      <x:c r="G33" s="158"/>
      <x:c r="H33" s="158"/>
      <x:c r="I33" s="158"/>
      <x:c r="J33" s="158"/>
      <x:c r="K33" s="158"/>
      <x:c r="L33" s="158"/>
      <x:c r="M33" s="158"/>
      <x:c r="N33" s="159"/>
    </x:row>
  </x:sheetData>
  <x:mergeCells>
    <x:mergeCell ref="A1:N1"/>
    <x:mergeCell ref="A3:N3"/>
    <x:mergeCell ref="A5:B5"/>
    <x:mergeCell ref="A6:B7"/>
    <x:mergeCell ref="D5:E5"/>
    <x:mergeCell ref="D6:E7"/>
    <x:mergeCell ref="G5:H5"/>
    <x:mergeCell ref="G6:H7"/>
    <x:mergeCell ref="J5:K5"/>
    <x:mergeCell ref="J6:K7"/>
    <x:mergeCell ref="M5:N5"/>
    <x:mergeCell ref="M6:N7"/>
    <x:mergeCell ref="A9:I9"/>
    <x:mergeCell ref="K9:N9"/>
    <x:mergeCell ref="K11:N11"/>
    <x:mergeCell ref="K12:N12"/>
    <x:mergeCell ref="K14:L14"/>
    <x:mergeCell ref="M14:N14"/>
    <x:mergeCell ref="K15:L15"/>
    <x:mergeCell ref="M15:N15"/>
    <x:mergeCell ref="A18:H18"/>
    <x:mergeCell ref="J18:N18"/>
  </x:mergeCells>
  <x:pageMargins left="0.7" right="0.7" top="0.75" bottom="0.75" header="0.3" footer="0.3"/>
  <x:drawing xmlns:r="http://schemas.openxmlformats.org/officeDocument/2006/relationships" r:id="R44831574b21a420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Estado</x:v>
      </x:c>
      <x:c r="B1" t="str">
        <x:v>Cantidad</x:v>
      </x:c>
      <x:c r="D1" t="str">
        <x:v>Planilla</x:v>
      </x:c>
      <x:c r="E1" t="str">
        <x:v>Pedidos</x:v>
      </x:c>
      <x:c r="F1" t="str">
        <x:v>Pendientes</x:v>
      </x:c>
    </x:row>
    <x:row r="2">
      <x:c r="A2" t="str">
        <x:v>Completados</x:v>
      </x:c>
      <x:c r="B2" t="n">
        <x:f>Datos!E8-Datos!F8</x:f>
        <x:v>9490</x:v>
      </x:c>
      <x:c r="D2" t="str">
        <x:v>P1</x:v>
      </x:c>
      <x:c r="E2" t="n">
        <x:v>989</x:v>
      </x:c>
      <x:c r="F2" t="n">
        <x:v>0</x:v>
      </x:c>
    </x:row>
    <x:row r="3">
      <x:c r="A3" t="str">
        <x:v>Pendientes</x:v>
      </x:c>
      <x:c r="B3" t="n">
        <x:f>Datos!F8</x:f>
        <x:v>5230</x:v>
      </x:c>
      <x:c r="D3" t="str">
        <x:v>P2</x:v>
      </x:c>
      <x:c r="E3" t="n">
        <x:v>5444</x:v>
      </x:c>
      <x:c r="F3" t="n">
        <x:v>4777</x:v>
      </x:c>
    </x:row>
    <x:row r="4">
      <x:c r="A4" t="str">
        <x:v>Total</x:v>
      </x:c>
      <x:c r="B4" t="n">
        <x:f>Datos!E8</x:f>
        <x:v>14720</x:v>
      </x:c>
      <x:c r="D4" t="str">
        <x:v>P3</x:v>
      </x:c>
      <x:c r="E4" t="n">
        <x:v>937</x:v>
      </x:c>
      <x:c r="F4" t="n">
        <x:v>0</x:v>
      </x:c>
    </x:row>
    <x:row r="5">
      <x:c r="D5" t="str">
        <x:v>P4</x:v>
      </x:c>
      <x:c r="E5" t="n">
        <x:v>976</x:v>
      </x:c>
      <x:c r="F5" t="n">
        <x:v>187</x:v>
      </x:c>
    </x:row>
    <x:row r="6">
      <x:c r="D6" t="str">
        <x:v>P5</x:v>
      </x:c>
      <x:c r="E6" t="n">
        <x:v>882</x:v>
      </x:c>
      <x:c r="F6" t="n">
        <x:v>0</x:v>
      </x:c>
    </x:row>
    <x:row r="7">
      <x:c r="D7" t="str">
        <x:v>P6</x:v>
      </x:c>
      <x:c r="E7" t="n">
        <x:v>5492</x:v>
      </x:c>
      <x:c r="F7" t="n">
        <x:v>266</x:v>
      </x:c>
    </x:row>
  </x:sheetData>
  <x:pageMargins left="0.7" right="0.7" top="0.75" bottom="0.75" header="0.3" footer="0.3"/>
</x:worksheet>
</file>